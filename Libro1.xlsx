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to/Library/Mobile Documents/com~apple~CloudDocs/Code/Python/Resistencia De Materiales/Beam Analysis/"/>
    </mc:Choice>
  </mc:AlternateContent>
  <xr:revisionPtr revIDLastSave="0" documentId="13_ncr:1_{CDF24B90-2A91-5740-9572-21D0496C790C}" xr6:coauthVersionLast="47" xr6:coauthVersionMax="47" xr10:uidLastSave="{00000000-0000-0000-0000-000000000000}"/>
  <bookViews>
    <workbookView xWindow="0" yWindow="500" windowWidth="11720" windowHeight="11420" xr2:uid="{9E2369F2-A582-2C49-95E3-B4DF8B6B60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17" i="1"/>
  <c r="D14" i="1"/>
  <c r="D15" i="1"/>
  <c r="D16" i="1"/>
  <c r="D13" i="1"/>
  <c r="D10" i="1"/>
  <c r="D11" i="1"/>
  <c r="D12" i="1"/>
  <c r="D9" i="1"/>
  <c r="D7" i="1"/>
  <c r="D8" i="1"/>
  <c r="D6" i="1"/>
  <c r="D4" i="1"/>
  <c r="D5" i="1"/>
  <c r="D3" i="1"/>
  <c r="C12" i="1"/>
  <c r="C10" i="1"/>
  <c r="C11" i="1"/>
  <c r="C9" i="1"/>
</calcChain>
</file>

<file path=xl/sharedStrings.xml><?xml version="1.0" encoding="utf-8"?>
<sst xmlns="http://schemas.openxmlformats.org/spreadsheetml/2006/main" count="3" uniqueCount="3">
  <si>
    <t>x</t>
  </si>
  <si>
    <t>V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</si>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</sst>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OfficeCodePro-Regular"/>
      <family val="2"/>
    </font>
    <font>
      <sz val="9"/>
      <color theme="1"/>
      <name val="OfficeCodePro-Regular"/>
      <family val="2"/>
    </font>
    <font>
      <sz val="8"/>
      <name val="OfficeCodePro-Regular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Font="1" applyAlignment="1">
      <alignment horizontal="right"/>
    </xf>
    <xf numFmtId="0" fontId="0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6940-4225-F243-BC6A-63EC6EED7C61}">
  <dimension ref="B1:E37"/>
  <sheetViews>
    <sheetView tabSelected="1" zoomScale="132" zoomScaleNormal="120" workbookViewId="0">
      <selection activeCell="E11" sqref="E11"/>
    </sheetView>
  </sheetViews>
  <sheetFormatPr baseColWidth="10" defaultRowHeight="16"/>
  <cols>
    <col min="4" max="4" width="10.7109375" style="5"/>
    <col min="5" max="5" width="10.7109375" customWidth="1"/>
  </cols>
  <sheetData>
    <row r="1" spans="2:4">
      <c r="D1"/>
    </row>
    <row r="2" spans="2:4">
      <c r="B2" s="1" t="s">
        <v>0</v>
      </c>
      <c r="C2" s="2" t="s">
        <v>1</v>
      </c>
      <c r="D2" s="6" t="s">
        <v>2</v>
      </c>
    </row>
    <row r="3" spans="2:4">
      <c r="B3">
        <v>0</v>
      </c>
      <c r="C3" s="3">
        <v>8.75</v>
      </c>
      <c r="D3" s="5">
        <f>8.75*B3</f>
        <v>0</v>
      </c>
    </row>
    <row r="4" spans="2:4">
      <c r="B4">
        <v>1</v>
      </c>
      <c r="C4" s="4">
        <v>8.75</v>
      </c>
      <c r="D4" s="5">
        <f t="shared" ref="D4:D5" si="0">8.75*B4</f>
        <v>8.75</v>
      </c>
    </row>
    <row r="5" spans="2:4">
      <c r="B5">
        <v>2</v>
      </c>
      <c r="C5" s="4">
        <v>8.75</v>
      </c>
      <c r="D5" s="5">
        <f t="shared" si="0"/>
        <v>17.5</v>
      </c>
    </row>
    <row r="6" spans="2:4">
      <c r="B6">
        <v>2</v>
      </c>
      <c r="C6" s="4">
        <v>3.75</v>
      </c>
      <c r="D6" s="5">
        <f>8.75*B6-5*(B6-2)</f>
        <v>17.5</v>
      </c>
    </row>
    <row r="7" spans="2:4">
      <c r="B7">
        <v>3</v>
      </c>
      <c r="C7" s="4">
        <v>3.75</v>
      </c>
      <c r="D7" s="5">
        <f t="shared" ref="D7:D8" si="1">8.75*B7-5*(B7-2)</f>
        <v>21.25</v>
      </c>
    </row>
    <row r="8" spans="2:4">
      <c r="B8">
        <v>4</v>
      </c>
      <c r="C8" s="4">
        <v>3.75</v>
      </c>
      <c r="D8" s="5">
        <f t="shared" si="1"/>
        <v>25</v>
      </c>
    </row>
    <row r="9" spans="2:4">
      <c r="B9">
        <v>4</v>
      </c>
      <c r="C9" s="4">
        <f>-2*(B9-4)+3.75</f>
        <v>3.75</v>
      </c>
      <c r="D9" s="5">
        <f>8.75*B9-5*(B9-2)-2*(B9-4)*((B9-4)/2)</f>
        <v>25</v>
      </c>
    </row>
    <row r="10" spans="2:4">
      <c r="B10">
        <v>5</v>
      </c>
      <c r="C10" s="4">
        <f t="shared" ref="C10:C16" si="2">-2*(B10-4)+3.75</f>
        <v>1.75</v>
      </c>
      <c r="D10" s="5">
        <f t="shared" ref="D10:D12" si="3">8.75*B10-5*(B10-2)-2*(B10-4)*((B10-4)/2)</f>
        <v>27.75</v>
      </c>
    </row>
    <row r="11" spans="2:4">
      <c r="B11">
        <v>6</v>
      </c>
      <c r="C11" s="4">
        <f t="shared" si="2"/>
        <v>-0.25</v>
      </c>
      <c r="D11" s="5">
        <f t="shared" si="3"/>
        <v>28.5</v>
      </c>
    </row>
    <row r="12" spans="2:4">
      <c r="B12">
        <v>7</v>
      </c>
      <c r="C12" s="4">
        <f t="shared" si="2"/>
        <v>-2.25</v>
      </c>
      <c r="D12" s="5">
        <f t="shared" si="3"/>
        <v>27.25</v>
      </c>
    </row>
    <row r="13" spans="2:4">
      <c r="B13">
        <v>7</v>
      </c>
      <c r="C13" s="4">
        <v>-2.25</v>
      </c>
      <c r="D13" s="5">
        <f>8.75*B13-5*(B13-2)-6*(B13-5.5)</f>
        <v>27.25</v>
      </c>
    </row>
    <row r="14" spans="2:4">
      <c r="B14">
        <v>8</v>
      </c>
      <c r="C14" s="4">
        <v>-2.25</v>
      </c>
      <c r="D14" s="5">
        <f t="shared" ref="D14:D17" si="4">8.75*B14-5*(B14-2)-6*(B14-5.5)</f>
        <v>25</v>
      </c>
    </row>
    <row r="15" spans="2:4">
      <c r="B15">
        <v>9</v>
      </c>
      <c r="C15" s="4">
        <v>-2.25</v>
      </c>
      <c r="D15" s="5">
        <f t="shared" si="4"/>
        <v>22.75</v>
      </c>
    </row>
    <row r="16" spans="2:4">
      <c r="B16">
        <v>10</v>
      </c>
      <c r="C16" s="4">
        <v>-2.25</v>
      </c>
      <c r="D16" s="5">
        <f t="shared" si="4"/>
        <v>20.5</v>
      </c>
    </row>
    <row r="17" spans="2:5">
      <c r="B17">
        <v>10</v>
      </c>
      <c r="C17" s="4">
        <v>-5.75</v>
      </c>
      <c r="D17" s="5">
        <f>8.75*B17-5*(B17-2)-6*(B17-5.5)-8*(B17-10)</f>
        <v>20.5</v>
      </c>
    </row>
    <row r="18" spans="2:5">
      <c r="B18">
        <v>11</v>
      </c>
      <c r="C18" s="4">
        <v>-5.75</v>
      </c>
      <c r="D18" s="5">
        <f t="shared" ref="D18:D19" si="5">8.75*B18-5*(B18-2)-6*(B18-5.5)-8*(B18-10)</f>
        <v>10.25</v>
      </c>
    </row>
    <row r="19" spans="2:5">
      <c r="B19">
        <v>12</v>
      </c>
      <c r="C19" s="4">
        <v>-5.75</v>
      </c>
      <c r="D19" s="5">
        <f t="shared" si="5"/>
        <v>0</v>
      </c>
    </row>
    <row r="21" spans="2:5">
      <c r="E21" s="7"/>
    </row>
    <row r="22" spans="2:5">
      <c r="E22" s="7"/>
    </row>
    <row r="23" spans="2:5">
      <c r="E23" s="7"/>
    </row>
    <row r="24" spans="2:5">
      <c r="E24" s="7"/>
    </row>
    <row r="25" spans="2:5">
      <c r="E25" s="7"/>
    </row>
    <row r="26" spans="2:5">
      <c r="E26" s="7"/>
    </row>
    <row r="27" spans="2:5">
      <c r="E27" s="7"/>
    </row>
    <row r="28" spans="2:5">
      <c r="E28" s="7"/>
    </row>
    <row r="29" spans="2:5">
      <c r="E29" s="7"/>
    </row>
    <row r="30" spans="2:5">
      <c r="E30" s="7"/>
    </row>
    <row r="31" spans="2:5">
      <c r="E31" s="7"/>
    </row>
    <row r="32" spans="2:5">
      <c r="E32" s="7"/>
    </row>
    <row r="33" spans="5:5">
      <c r="E33" s="7"/>
    </row>
    <row r="34" spans="5:5">
      <c r="E34" s="7"/>
    </row>
    <row r="35" spans="5:5">
      <c r="E35" s="7"/>
    </row>
    <row r="36" spans="5:5">
      <c r="E36" s="7"/>
    </row>
    <row r="37" spans="5:5">
      <c r="E37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2023-08-23T04:54:52Z</dcterms:created>
  <dcterms:modified xsi:type="dcterms:W3CDTF">2023-08-26T04:37:14Z</dcterms:modified>
</cp:coreProperties>
</file>